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G Eligibility" sheetId="1" r:id="rId4"/>
    <sheet state="visible" name="LG Class" sheetId="2" r:id="rId5"/>
    <sheet state="visible" name="Course Codes" sheetId="3" r:id="rId6"/>
    <sheet state="visible" name="Course Completion" sheetId="4" r:id="rId7"/>
  </sheets>
  <definedNames/>
  <calcPr/>
  <extLst>
    <ext uri="GoogleSheetsCustomDataVersion2">
      <go:sheetsCustomData xmlns:go="http://customooxmlschemas.google.com/" r:id="rId8" roundtripDataChecksum="grvvnCw/g0Z0xLElna6nTgkY678jddV+6rAmMOvZWLk="/>
    </ext>
  </extLst>
</workbook>
</file>

<file path=xl/sharedStrings.xml><?xml version="1.0" encoding="utf-8"?>
<sst xmlns="http://schemas.openxmlformats.org/spreadsheetml/2006/main" count="123" uniqueCount="96">
  <si>
    <t>Confirmed LG Class</t>
  </si>
  <si>
    <t>In Class time: 24+ hours</t>
  </si>
  <si>
    <t>Online Time: 6 hours</t>
  </si>
  <si>
    <t>LG: 27.5 hours, Waterpark: 3.75 hours?, Oxygen:1 - 1.75 hours Total:31.25-32 hours        Title 22: ??hours</t>
  </si>
  <si>
    <t>Potential Candidates</t>
  </si>
  <si>
    <t>Reached Out To</t>
  </si>
  <si>
    <t>Confirmed</t>
  </si>
  <si>
    <t>confirmed for</t>
  </si>
  <si>
    <t>Reason</t>
  </si>
  <si>
    <t>Potential LG Candidates</t>
  </si>
  <si>
    <t xml:space="preserve">Dates: </t>
  </si>
  <si>
    <t xml:space="preserve">Time: </t>
  </si>
  <si>
    <t xml:space="preserve">In Class time: </t>
  </si>
  <si>
    <t>Online Time: 7 hours</t>
  </si>
  <si>
    <t>Aodan Lovato</t>
  </si>
  <si>
    <t>Passed all tests 8/24/25 - BU</t>
  </si>
  <si>
    <t>Rachel Tom</t>
  </si>
  <si>
    <t>Passed all tests 6/30/23 RCS</t>
  </si>
  <si>
    <t>Katie Clinton</t>
  </si>
  <si>
    <t>Passed all tests 3/18/26 - BU</t>
  </si>
  <si>
    <t>Jacob Malimban</t>
  </si>
  <si>
    <t>Passed all tests 7/27/25 - BU</t>
  </si>
  <si>
    <t>Boaz Kwong</t>
  </si>
  <si>
    <t>Passed all tests  8/10/25 - BU</t>
  </si>
  <si>
    <t>Aiden Ramirez</t>
  </si>
  <si>
    <t>Jacob Farmer</t>
  </si>
  <si>
    <t>Currently Inactive</t>
  </si>
  <si>
    <t>Evan Pang</t>
  </si>
  <si>
    <r>
      <rPr>
        <rFont val="Calibri"/>
        <b/>
        <color rgb="FF92D050"/>
        <sz val="11.0"/>
      </rPr>
      <t>Already full LG certified</t>
    </r>
    <r>
      <rPr>
        <rFont val="Calibri"/>
        <b/>
        <color theme="1"/>
        <sz val="11.0"/>
      </rPr>
      <t>,  Needs waterpark and o2</t>
    </r>
  </si>
  <si>
    <t>Edric Zheng</t>
  </si>
  <si>
    <r>
      <rPr>
        <rFont val="Calibri"/>
        <b/>
        <color rgb="FF92D050"/>
        <sz val="11.0"/>
      </rPr>
      <t>Already full LG certified</t>
    </r>
    <r>
      <rPr>
        <rFont val="Calibri"/>
        <b/>
        <color theme="1"/>
        <sz val="11.0"/>
      </rPr>
      <t>,  Needs waterpark and o2</t>
    </r>
  </si>
  <si>
    <t>Adrian Ramirez</t>
  </si>
  <si>
    <r>
      <rPr>
        <rFont val="Calibri"/>
        <b/>
        <color rgb="FF92D050"/>
        <sz val="11.0"/>
      </rPr>
      <t>Already full LG certified</t>
    </r>
    <r>
      <rPr>
        <rFont val="Calibri"/>
        <b/>
        <color theme="1"/>
        <sz val="11.0"/>
      </rPr>
      <t>,  Needs waterpark and o2</t>
    </r>
  </si>
  <si>
    <t>Luis Nabung Rozo</t>
  </si>
  <si>
    <r>
      <rPr>
        <rFont val="Calibri"/>
        <b/>
        <color rgb="FF92D050"/>
        <sz val="11.0"/>
      </rPr>
      <t>Already LG Certified,</t>
    </r>
    <r>
      <rPr>
        <rFont val="Calibri"/>
        <b/>
        <color rgb="FF70AD47"/>
        <sz val="11.0"/>
      </rPr>
      <t xml:space="preserve"> </t>
    </r>
    <r>
      <rPr>
        <rFont val="Calibri"/>
        <b/>
        <color rgb="FF000000"/>
        <sz val="11.0"/>
      </rPr>
      <t>needs bridge to Red Cross, waterpark and o2</t>
    </r>
  </si>
  <si>
    <t>Needs Academy to Improve to new prerequesites</t>
  </si>
  <si>
    <t>Name</t>
  </si>
  <si>
    <t>Test Date</t>
  </si>
  <si>
    <t>Swim 50yd, Tread/Float 2m, Swim 50yd</t>
  </si>
  <si>
    <t>Brick Test 50 sec.</t>
  </si>
  <si>
    <t>Mikayla Phan</t>
  </si>
  <si>
    <t>Incomplete</t>
  </si>
  <si>
    <t>1m 25sec</t>
  </si>
  <si>
    <t>stopped for 10 sec each length, long side breath, brick in 1m 25s</t>
  </si>
  <si>
    <t>Davin Gonzales</t>
  </si>
  <si>
    <t>Completed</t>
  </si>
  <si>
    <t>Stopped on 2nd lap of swim. Long breaks in between float and second swim set,</t>
  </si>
  <si>
    <t>Sahasra Yeluri</t>
  </si>
  <si>
    <t>59 sec</t>
  </si>
  <si>
    <t>Swam head up during the second swim set</t>
  </si>
  <si>
    <t>Miuli Changkomine</t>
  </si>
  <si>
    <t>1m</t>
  </si>
  <si>
    <t>LG Class Availability</t>
  </si>
  <si>
    <t>Students Availability</t>
  </si>
  <si>
    <t>Monday</t>
  </si>
  <si>
    <t>Tuesday</t>
  </si>
  <si>
    <t>Wednesday</t>
  </si>
  <si>
    <t>Thursday</t>
  </si>
  <si>
    <t>Friday</t>
  </si>
  <si>
    <t>Saturday</t>
  </si>
  <si>
    <t>Sunday</t>
  </si>
  <si>
    <t>Courses</t>
  </si>
  <si>
    <t>Date</t>
  </si>
  <si>
    <t>Start</t>
  </si>
  <si>
    <t>End</t>
  </si>
  <si>
    <t>Time</t>
  </si>
  <si>
    <t>TOT Time</t>
  </si>
  <si>
    <t>Lifeguard w/Title 22:</t>
  </si>
  <si>
    <t xml:space="preserve">Waterpark: </t>
  </si>
  <si>
    <t>Oxygen:</t>
  </si>
  <si>
    <t>Total:</t>
  </si>
  <si>
    <t>BL portion:</t>
  </si>
  <si>
    <t>In-Class portion:</t>
  </si>
  <si>
    <t>Stand Alone</t>
  </si>
  <si>
    <t>Stand Alone Title 22:</t>
  </si>
  <si>
    <t>Shallow LG Blended Learning Course</t>
  </si>
  <si>
    <t>Total</t>
  </si>
  <si>
    <t>Written Test and Modules</t>
  </si>
  <si>
    <t>Blended Learning Course</t>
  </si>
  <si>
    <t>Total (not including breaks)</t>
  </si>
  <si>
    <t>Total plus 2.5 hours of breaks</t>
  </si>
  <si>
    <t>Course Code</t>
  </si>
  <si>
    <t>Course Description</t>
  </si>
  <si>
    <t>AP-HSSAQU420-BL-r.24</t>
  </si>
  <si>
    <t>Shallow Water Lifeguarding, Waterpark and Administering Emergency Oxygen-BL</t>
  </si>
  <si>
    <t>American Red Cross Course Record</t>
  </si>
  <si>
    <t>Course Start Date: ____________________</t>
  </si>
  <si>
    <t>Course Completion Date: ____________________</t>
  </si>
  <si>
    <t>Instructor(s): ____________________________________________________________________</t>
  </si>
  <si>
    <t>Instructor Aid(s): _________________________________________________________________</t>
  </si>
  <si>
    <t>Number of Students: __________</t>
  </si>
  <si>
    <t>Course:</t>
  </si>
  <si>
    <t>Shallow Water Lifeguarding</t>
  </si>
  <si>
    <t>Waterpark Lifeguarding</t>
  </si>
  <si>
    <t>Administering Emergency Oxygen</t>
  </si>
  <si>
    <t>Title 22 Advanced First Aid for Public Safety Personnel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</si>
</sst>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"/>
    <numFmt numFmtId="165" formatCode="m/d/yy"/>
    <numFmt numFmtId="166" formatCode="m/d"/>
    <numFmt numFmtId="167" formatCode="h:mm:ss am/pm"/>
    <numFmt numFmtId="168" formatCode="h:mm am/pm"/>
  </numFmts>
  <fonts count="15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sz val="11.0"/>
      <color rgb="FF000000"/>
      <name val="Calibri"/>
    </font>
    <font>
      <b/>
      <sz val="11.0"/>
      <color rgb="FF92D050"/>
      <name val="Calibri"/>
    </font>
    <font>
      <sz val="11.0"/>
      <color rgb="FFFF0000"/>
      <name val="Calibri"/>
    </font>
    <font>
      <b/>
      <sz val="11.0"/>
      <color theme="1"/>
      <name val="Calibri"/>
    </font>
    <font>
      <color rgb="FF92D050"/>
      <name val="Calibri"/>
      <scheme val="minor"/>
    </font>
    <font>
      <b/>
      <sz val="11.0"/>
      <color rgb="FFFF0000"/>
      <name val="Calibri"/>
    </font>
    <font>
      <sz val="11.0"/>
      <color rgb="FF92D050"/>
      <name val="Calibri"/>
    </font>
    <font>
      <b/>
      <sz val="11.0"/>
      <color rgb="FF70AD47"/>
      <name val="Calibri"/>
    </font>
    <font>
      <sz val="11.0"/>
      <color rgb="FF333333"/>
      <name val="Lato"/>
    </font>
    <font>
      <b/>
      <sz val="20.0"/>
      <color theme="1"/>
      <name val="Calibri"/>
      <scheme val="minor"/>
    </font>
    <font>
      <sz val="12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left" readingOrder="0"/>
    </xf>
    <xf borderId="5" fillId="0" fontId="2" numFmtId="0" xfId="0" applyBorder="1" applyFont="1"/>
    <xf borderId="6" fillId="0" fontId="2" numFmtId="0" xfId="0" applyBorder="1" applyFont="1"/>
    <xf borderId="7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8" fillId="0" fontId="2" numFmtId="0" xfId="0" applyBorder="1" applyFont="1"/>
    <xf borderId="0" fillId="0" fontId="3" numFmtId="0" xfId="0" applyFont="1"/>
    <xf borderId="8" fillId="0" fontId="1" numFmtId="0" xfId="0" applyBorder="1" applyFont="1"/>
    <xf borderId="9" fillId="0" fontId="3" numFmtId="0" xfId="0" applyBorder="1" applyFont="1"/>
    <xf borderId="9" fillId="0" fontId="4" numFmtId="0" xfId="0" applyAlignment="1" applyBorder="1" applyFont="1">
      <alignment readingOrder="0" shrinkToFit="0" vertical="bottom" wrapText="0"/>
    </xf>
    <xf borderId="10" fillId="0" fontId="4" numFmtId="16" xfId="0" applyAlignment="1" applyBorder="1" applyFont="1" applyNumberFormat="1">
      <alignment readingOrder="0"/>
    </xf>
    <xf borderId="10" fillId="0" fontId="4" numFmtId="0" xfId="0" applyAlignment="1" applyBorder="1" applyFont="1">
      <alignment readingOrder="0" vertical="bottom"/>
    </xf>
    <xf borderId="11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4" numFmtId="16" xfId="0" applyAlignment="1" applyBorder="1" applyFont="1" applyNumberFormat="1">
      <alignment readingOrder="0"/>
    </xf>
    <xf borderId="9" fillId="0" fontId="4" numFmtId="0" xfId="0" applyAlignment="1" applyBorder="1" applyFont="1">
      <alignment readingOrder="0"/>
    </xf>
    <xf borderId="7" fillId="3" fontId="1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Alignment="1" applyBorder="1" applyFont="1">
      <alignment readingOrder="0"/>
    </xf>
    <xf borderId="0" fillId="0" fontId="1" numFmtId="0" xfId="0" applyFont="1"/>
    <xf borderId="12" fillId="0" fontId="4" numFmtId="0" xfId="0" applyAlignment="1" applyBorder="1" applyFont="1">
      <alignment readingOrder="0"/>
    </xf>
    <xf borderId="9" fillId="0" fontId="4" numFmtId="16" xfId="0" applyBorder="1" applyFont="1" applyNumberFormat="1"/>
    <xf borderId="9" fillId="0" fontId="4" numFmtId="0" xfId="0" applyBorder="1" applyFont="1"/>
    <xf borderId="11" fillId="0" fontId="4" numFmtId="0" xfId="0" applyAlignment="1" applyBorder="1" applyFont="1">
      <alignment readingOrder="0"/>
    </xf>
    <xf borderId="12" fillId="0" fontId="4" numFmtId="0" xfId="0" applyBorder="1" applyFont="1"/>
    <xf borderId="13" fillId="0" fontId="4" numFmtId="16" xfId="0" applyAlignment="1" applyBorder="1" applyFont="1" applyNumberFormat="1">
      <alignment readingOrder="0"/>
    </xf>
    <xf borderId="14" fillId="0" fontId="4" numFmtId="16" xfId="0" applyAlignment="1" applyBorder="1" applyFont="1" applyNumberFormat="1">
      <alignment readingOrder="0"/>
    </xf>
    <xf borderId="14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 vertical="bottom"/>
    </xf>
    <xf borderId="15" fillId="0" fontId="4" numFmtId="164" xfId="0" applyAlignment="1" applyBorder="1" applyFont="1" applyNumberFormat="1">
      <alignment readingOrder="0"/>
    </xf>
    <xf borderId="15" fillId="0" fontId="4" numFmtId="0" xfId="0" applyAlignment="1" applyBorder="1" applyFont="1">
      <alignment readingOrder="0"/>
    </xf>
    <xf borderId="15" fillId="0" fontId="4" numFmtId="16" xfId="0" applyAlignment="1" applyBorder="1" applyFont="1" applyNumberFormat="1">
      <alignment readingOrder="0"/>
    </xf>
    <xf borderId="10" fillId="0" fontId="4" numFmtId="0" xfId="0" applyAlignment="1" applyBorder="1" applyFont="1">
      <alignment readingOrder="0"/>
    </xf>
    <xf borderId="16" fillId="0" fontId="4" numFmtId="0" xfId="0" applyAlignment="1" applyBorder="1" applyFont="1">
      <alignment readingOrder="0" shrinkToFit="0" vertical="bottom" wrapText="0"/>
    </xf>
    <xf borderId="17" fillId="0" fontId="4" numFmtId="16" xfId="0" applyBorder="1" applyFont="1" applyNumberFormat="1"/>
    <xf borderId="16" fillId="0" fontId="1" numFmtId="0" xfId="0" applyAlignment="1" applyBorder="1" applyFont="1">
      <alignment readingOrder="0"/>
    </xf>
    <xf borderId="16" fillId="0" fontId="3" numFmtId="0" xfId="0" applyBorder="1" applyFont="1"/>
    <xf borderId="18" fillId="0" fontId="4" numFmtId="0" xfId="0" applyAlignment="1" applyBorder="1" applyFont="1">
      <alignment readingOrder="0" shrinkToFit="0" vertical="bottom" wrapText="0"/>
    </xf>
    <xf borderId="12" fillId="0" fontId="5" numFmtId="0" xfId="0" applyBorder="1" applyFont="1"/>
    <xf borderId="9" fillId="0" fontId="1" numFmtId="16" xfId="0" applyBorder="1" applyFont="1" applyNumberFormat="1"/>
    <xf borderId="9" fillId="0" fontId="6" numFmtId="0" xfId="0" applyBorder="1" applyFont="1"/>
    <xf borderId="9" fillId="0" fontId="1" numFmtId="0" xfId="0" applyBorder="1" applyFont="1"/>
    <xf borderId="11" fillId="0" fontId="7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2" fillId="0" fontId="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9" fillId="0" fontId="10" numFmtId="0" xfId="0" applyAlignment="1" applyBorder="1" applyFont="1">
      <alignment readingOrder="0"/>
    </xf>
    <xf borderId="9" fillId="0" fontId="6" numFmtId="16" xfId="0" applyBorder="1" applyFont="1" applyNumberFormat="1"/>
    <xf borderId="9" fillId="0" fontId="11" numFmtId="0" xfId="0" applyAlignment="1" applyBorder="1" applyFont="1">
      <alignment readingOrder="0"/>
    </xf>
    <xf borderId="4" fillId="4" fontId="1" numFmtId="0" xfId="0" applyAlignment="1" applyBorder="1" applyFill="1" applyFont="1">
      <alignment horizontal="center"/>
    </xf>
    <xf borderId="19" fillId="4" fontId="1" numFmtId="0" xfId="0" applyBorder="1" applyFont="1"/>
    <xf borderId="20" fillId="4" fontId="1" numFmtId="0" xfId="0" applyAlignment="1" applyBorder="1" applyFont="1">
      <alignment horizontal="center" readingOrder="0"/>
    </xf>
    <xf borderId="13" fillId="4" fontId="1" numFmtId="0" xfId="0" applyBorder="1" applyFont="1"/>
    <xf borderId="21" fillId="4" fontId="1" numFmtId="0" xfId="0" applyBorder="1" applyFont="1"/>
    <xf borderId="12" fillId="0" fontId="1" numFmtId="0" xfId="0" applyBorder="1" applyFont="1"/>
    <xf borderId="9" fillId="0" fontId="3" numFmtId="0" xfId="0" applyAlignment="1" applyBorder="1" applyFont="1">
      <alignment horizontal="center"/>
    </xf>
    <xf borderId="22" fillId="3" fontId="1" numFmtId="0" xfId="0" applyAlignment="1" applyBorder="1" applyFont="1">
      <alignment horizontal="center"/>
    </xf>
    <xf borderId="9" fillId="3" fontId="1" numFmtId="0" xfId="0" applyBorder="1" applyFont="1"/>
    <xf borderId="11" fillId="0" fontId="1" numFmtId="0" xfId="0" applyBorder="1" applyFont="1"/>
    <xf borderId="12" fillId="0" fontId="1" numFmtId="0" xfId="0" applyAlignment="1" applyBorder="1" applyFont="1">
      <alignment readingOrder="0"/>
    </xf>
    <xf borderId="9" fillId="0" fontId="1" numFmtId="165" xfId="0" applyAlignment="1" applyBorder="1" applyFont="1" applyNumberFormat="1">
      <alignment horizontal="center" readingOrder="0"/>
    </xf>
    <xf borderId="9" fillId="3" fontId="1" numFmtId="0" xfId="0" applyAlignment="1" applyBorder="1" applyFont="1">
      <alignment horizontal="center" readingOrder="0"/>
    </xf>
    <xf borderId="9" fillId="5" fontId="1" numFmtId="0" xfId="0" applyAlignment="1" applyBorder="1" applyFill="1" applyFont="1">
      <alignment readingOrder="0"/>
    </xf>
    <xf borderId="11" fillId="0" fontId="1" numFmtId="0" xfId="0" applyAlignment="1" applyBorder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5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1" numFmtId="0" xfId="0" applyAlignment="1" applyBorder="1" applyFont="1">
      <alignment horizontal="center" readingOrder="0"/>
    </xf>
    <xf borderId="23" fillId="0" fontId="3" numFmtId="0" xfId="0" applyAlignment="1" applyBorder="1" applyFont="1">
      <alignment readingOrder="0"/>
    </xf>
    <xf borderId="23" fillId="0" fontId="3" numFmtId="0" xfId="0" applyBorder="1" applyFont="1"/>
    <xf borderId="19" fillId="0" fontId="3" numFmtId="0" xfId="0" applyAlignment="1" applyBorder="1" applyFont="1">
      <alignment horizontal="left" readingOrder="0"/>
    </xf>
    <xf borderId="13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0" fontId="3" numFmtId="46" xfId="0" applyFont="1" applyNumberFormat="1"/>
    <xf borderId="12" fillId="0" fontId="10" numFmtId="0" xfId="0" applyBorder="1" applyFont="1"/>
    <xf borderId="9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24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2" fillId="0" fontId="10" numFmtId="0" xfId="0" applyAlignment="1" applyBorder="1" applyFont="1">
      <alignment readingOrder="0"/>
    </xf>
    <xf borderId="15" fillId="0" fontId="1" numFmtId="16" xfId="0" applyBorder="1" applyFont="1" applyNumberFormat="1"/>
    <xf borderId="15" fillId="0" fontId="1" numFmtId="0" xfId="0" applyBorder="1" applyFont="1"/>
    <xf borderId="10" fillId="0" fontId="1" numFmtId="0" xfId="0" applyBorder="1" applyFont="1"/>
    <xf borderId="24" fillId="0" fontId="1" numFmtId="0" xfId="0" applyBorder="1" applyFont="1"/>
    <xf borderId="17" fillId="0" fontId="1" numFmtId="16" xfId="0" applyBorder="1" applyFont="1" applyNumberFormat="1"/>
    <xf borderId="10" fillId="0" fontId="1" numFmtId="16" xfId="0" applyBorder="1" applyFont="1" applyNumberFormat="1"/>
    <xf borderId="25" fillId="0" fontId="3" numFmtId="0" xfId="0" applyAlignment="1" applyBorder="1" applyFont="1">
      <alignment readingOrder="0"/>
    </xf>
    <xf borderId="26" fillId="0" fontId="3" numFmtId="0" xfId="0" applyBorder="1" applyFont="1"/>
    <xf borderId="27" fillId="0" fontId="1" numFmtId="16" xfId="0" applyBorder="1" applyFont="1" applyNumberFormat="1"/>
    <xf borderId="28" fillId="0" fontId="1" numFmtId="16" xfId="0" applyBorder="1" applyFont="1" applyNumberFormat="1"/>
    <xf borderId="28" fillId="0" fontId="1" numFmtId="0" xfId="0" applyBorder="1" applyFont="1"/>
    <xf borderId="27" fillId="0" fontId="1" numFmtId="0" xfId="0" applyBorder="1" applyFont="1"/>
    <xf borderId="29" fillId="0" fontId="1" numFmtId="0" xfId="0" applyBorder="1" applyFont="1"/>
    <xf borderId="0" fillId="0" fontId="1" numFmtId="16" xfId="0" applyFont="1" applyNumberFormat="1"/>
    <xf borderId="5" fillId="0" fontId="1" numFmtId="0" xfId="0" applyAlignment="1" applyBorder="1" applyFont="1">
      <alignment horizontal="left"/>
    </xf>
    <xf borderId="30" fillId="0" fontId="1" numFmtId="0" xfId="0" applyBorder="1" applyFont="1"/>
    <xf borderId="13" fillId="0" fontId="1" numFmtId="16" xfId="0" applyBorder="1" applyFont="1" applyNumberFormat="1"/>
    <xf borderId="13" fillId="0" fontId="1" numFmtId="0" xfId="0" applyBorder="1" applyFont="1"/>
    <xf borderId="21" fillId="0" fontId="1" numFmtId="0" xfId="0" applyBorder="1" applyFont="1"/>
    <xf borderId="31" fillId="0" fontId="1" numFmtId="0" xfId="0" applyBorder="1" applyFont="1"/>
    <xf borderId="32" fillId="0" fontId="1" numFmtId="0" xfId="0" applyBorder="1" applyFont="1"/>
    <xf borderId="15" fillId="0" fontId="1" numFmtId="20" xfId="0" applyBorder="1" applyFont="1" applyNumberFormat="1"/>
    <xf borderId="33" fillId="0" fontId="1" numFmtId="0" xfId="0" applyBorder="1" applyFont="1"/>
    <xf borderId="0" fillId="6" fontId="12" numFmtId="0" xfId="0" applyAlignment="1" applyFill="1" applyFont="1">
      <alignment readingOrder="0"/>
    </xf>
    <xf borderId="34" fillId="0" fontId="13" numFmtId="0" xfId="0" applyAlignment="1" applyBorder="1" applyFont="1">
      <alignment readingOrder="0"/>
    </xf>
    <xf borderId="34" fillId="0" fontId="2" numFmtId="0" xfId="0" applyBorder="1" applyFont="1"/>
    <xf borderId="0" fillId="0" fontId="14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1.57"/>
    <col customWidth="1" min="3" max="3" width="34.57"/>
    <col customWidth="1" min="4" max="4" width="21.57"/>
    <col customWidth="1" min="5" max="5" width="85.86"/>
    <col customWidth="1" min="6" max="6" width="35.86"/>
    <col customWidth="1" min="7" max="26" width="8.71"/>
  </cols>
  <sheetData>
    <row r="1">
      <c r="A1" s="1" t="s">
        <v>0</v>
      </c>
      <c r="B1" s="2"/>
      <c r="C1" s="2"/>
      <c r="D1" s="2"/>
      <c r="E1" s="3"/>
    </row>
    <row r="2">
      <c r="A2" s="4"/>
      <c r="B2" s="5"/>
      <c r="C2" s="6"/>
      <c r="D2" s="6"/>
      <c r="E2" s="7"/>
    </row>
    <row r="3">
      <c r="A3" s="8" t="s">
        <v>1</v>
      </c>
      <c r="B3" s="9" t="s">
        <v>2</v>
      </c>
      <c r="D3" s="10" t="s">
        <v>3</v>
      </c>
      <c r="E3" s="11"/>
    </row>
    <row r="4">
      <c r="A4" s="8" t="s">
        <v>4</v>
      </c>
      <c r="B4" s="12" t="s">
        <v>5</v>
      </c>
      <c r="C4" s="12" t="s">
        <v>6</v>
      </c>
      <c r="D4" s="12" t="s">
        <v>7</v>
      </c>
      <c r="E4" s="13" t="s">
        <v>8</v>
      </c>
    </row>
    <row r="5">
      <c r="A5" s="14"/>
      <c r="B5" s="14"/>
      <c r="C5" s="14"/>
      <c r="D5" s="14"/>
      <c r="E5" s="14"/>
    </row>
    <row r="6">
      <c r="A6" s="14"/>
      <c r="B6" s="14"/>
      <c r="C6" s="14"/>
      <c r="D6" s="14"/>
      <c r="E6" s="14"/>
    </row>
    <row r="7">
      <c r="A7" s="14"/>
      <c r="B7" s="14"/>
      <c r="C7" s="14"/>
      <c r="D7" s="14"/>
      <c r="E7" s="14"/>
    </row>
    <row r="8">
      <c r="A8" s="14"/>
      <c r="B8" s="14"/>
      <c r="C8" s="14"/>
      <c r="D8" s="14"/>
      <c r="E8" s="14"/>
    </row>
    <row r="9">
      <c r="A9" s="14"/>
      <c r="B9" s="14"/>
      <c r="C9" s="14"/>
      <c r="D9" s="14"/>
      <c r="E9" s="14"/>
    </row>
    <row r="10">
      <c r="A10" s="14"/>
      <c r="B10" s="14"/>
      <c r="C10" s="14"/>
      <c r="D10" s="14"/>
      <c r="E10" s="14"/>
    </row>
    <row r="11">
      <c r="A11" s="14"/>
      <c r="B11" s="14"/>
      <c r="C11" s="14"/>
      <c r="D11" s="14"/>
      <c r="E11" s="14"/>
    </row>
    <row r="12">
      <c r="A12" s="15"/>
      <c r="B12" s="16"/>
      <c r="C12" s="16"/>
      <c r="D12" s="17"/>
      <c r="E12" s="18"/>
    </row>
    <row r="13">
      <c r="A13" s="19"/>
      <c r="B13" s="20"/>
      <c r="C13" s="20"/>
      <c r="D13" s="21"/>
      <c r="E13" s="19"/>
    </row>
    <row r="14">
      <c r="A14" s="19"/>
      <c r="B14" s="14"/>
      <c r="C14" s="14"/>
      <c r="D14" s="14"/>
      <c r="E14" s="19"/>
    </row>
    <row r="15">
      <c r="A15" s="19"/>
      <c r="B15" s="14"/>
      <c r="C15" s="14"/>
      <c r="D15" s="14"/>
      <c r="E15" s="19"/>
    </row>
    <row r="16">
      <c r="A16" s="19"/>
      <c r="B16" s="14"/>
      <c r="C16" s="14"/>
      <c r="D16" s="14"/>
      <c r="E16" s="19"/>
    </row>
    <row r="17">
      <c r="A17" s="19"/>
      <c r="B17" s="14"/>
      <c r="C17" s="14"/>
      <c r="D17" s="14"/>
      <c r="E17" s="19"/>
    </row>
    <row r="18">
      <c r="A18" s="22" t="s">
        <v>9</v>
      </c>
      <c r="E18" s="11"/>
    </row>
    <row r="19">
      <c r="A19" s="23" t="s">
        <v>10</v>
      </c>
      <c r="B19" s="6"/>
      <c r="C19" s="6"/>
      <c r="D19" s="24" t="s">
        <v>11</v>
      </c>
      <c r="E19" s="25"/>
    </row>
    <row r="20">
      <c r="A20" s="26" t="s">
        <v>12</v>
      </c>
      <c r="B20" s="12" t="s">
        <v>13</v>
      </c>
      <c r="E20" s="13"/>
    </row>
    <row r="21" ht="1.5" customHeight="1">
      <c r="A21" s="8" t="s">
        <v>4</v>
      </c>
      <c r="B21" s="27" t="s">
        <v>5</v>
      </c>
      <c r="C21" s="27" t="s">
        <v>6</v>
      </c>
      <c r="D21" s="27" t="s">
        <v>7</v>
      </c>
      <c r="E21" s="13" t="s">
        <v>8</v>
      </c>
    </row>
    <row r="22">
      <c r="A22" s="28" t="s">
        <v>14</v>
      </c>
      <c r="B22" s="29"/>
      <c r="C22" s="29"/>
      <c r="D22" s="30"/>
      <c r="E22" s="31" t="s">
        <v>15</v>
      </c>
    </row>
    <row r="23">
      <c r="A23" s="32" t="s">
        <v>16</v>
      </c>
      <c r="B23" s="33"/>
      <c r="C23" s="34"/>
      <c r="D23" s="35"/>
      <c r="E23" s="31" t="s">
        <v>17</v>
      </c>
      <c r="F23" s="9"/>
    </row>
    <row r="24">
      <c r="A24" s="36" t="s">
        <v>18</v>
      </c>
      <c r="B24" s="16"/>
      <c r="C24" s="37"/>
      <c r="D24" s="38"/>
      <c r="E24" s="31" t="s">
        <v>19</v>
      </c>
    </row>
    <row r="25">
      <c r="A25" s="15" t="s">
        <v>20</v>
      </c>
      <c r="B25" s="16"/>
      <c r="C25" s="39"/>
      <c r="D25" s="38"/>
      <c r="E25" s="31" t="s">
        <v>21</v>
      </c>
    </row>
    <row r="26">
      <c r="A26" s="15" t="s">
        <v>22</v>
      </c>
      <c r="B26" s="16"/>
      <c r="C26" s="16"/>
      <c r="D26" s="40"/>
      <c r="E26" s="31" t="s">
        <v>23</v>
      </c>
    </row>
    <row r="27">
      <c r="A27" s="15" t="s">
        <v>24</v>
      </c>
      <c r="B27" s="16"/>
      <c r="C27" s="16"/>
      <c r="D27" s="40"/>
      <c r="E27" s="18" t="s">
        <v>21</v>
      </c>
    </row>
    <row r="28">
      <c r="A28" s="41"/>
      <c r="B28" s="42"/>
      <c r="C28" s="29"/>
      <c r="D28" s="30"/>
      <c r="E28" s="18"/>
    </row>
    <row r="29">
      <c r="A29" s="41"/>
      <c r="B29" s="42"/>
      <c r="C29" s="29"/>
      <c r="D29" s="30"/>
      <c r="E29" s="18"/>
    </row>
    <row r="30">
      <c r="A30" s="41"/>
      <c r="B30" s="42"/>
      <c r="C30" s="29"/>
      <c r="D30" s="30"/>
      <c r="E30" s="18"/>
    </row>
    <row r="31">
      <c r="A31" s="43"/>
      <c r="B31" s="42"/>
      <c r="C31" s="29"/>
      <c r="D31" s="30"/>
      <c r="E31" s="10"/>
    </row>
    <row r="32">
      <c r="A32" s="44"/>
      <c r="B32" s="42"/>
      <c r="C32" s="29"/>
      <c r="D32" s="30"/>
      <c r="E32" s="18"/>
    </row>
    <row r="33">
      <c r="A33" s="44"/>
      <c r="B33" s="42"/>
      <c r="C33" s="29"/>
      <c r="D33" s="30"/>
      <c r="E33" s="18"/>
    </row>
    <row r="34">
      <c r="A34" s="44"/>
      <c r="B34" s="42"/>
      <c r="C34" s="29"/>
      <c r="D34" s="30"/>
      <c r="E34" s="18"/>
    </row>
    <row r="35">
      <c r="A35" s="45"/>
      <c r="B35" s="29"/>
      <c r="C35" s="29"/>
      <c r="D35" s="30"/>
      <c r="E35" s="18"/>
    </row>
    <row r="36">
      <c r="A36" s="32" t="s">
        <v>25</v>
      </c>
      <c r="B36" s="29"/>
      <c r="C36" s="29"/>
      <c r="D36" s="30"/>
      <c r="E36" s="18" t="s">
        <v>26</v>
      </c>
    </row>
    <row r="37">
      <c r="A37" s="46" t="s">
        <v>27</v>
      </c>
      <c r="B37" s="47"/>
      <c r="C37" s="48"/>
      <c r="D37" s="49"/>
      <c r="E37" s="50" t="s">
        <v>28</v>
      </c>
    </row>
    <row r="38">
      <c r="A38" s="51" t="s">
        <v>29</v>
      </c>
      <c r="B38" s="47"/>
      <c r="C38" s="48"/>
      <c r="D38" s="49"/>
      <c r="E38" s="50" t="s">
        <v>30</v>
      </c>
    </row>
    <row r="39" ht="15.75" customHeight="1">
      <c r="A39" s="52" t="s">
        <v>31</v>
      </c>
      <c r="B39" s="14"/>
      <c r="C39" s="14"/>
      <c r="D39" s="14"/>
      <c r="E39" s="50" t="s">
        <v>32</v>
      </c>
      <c r="F39" s="53"/>
    </row>
    <row r="40" ht="15.75" customHeight="1">
      <c r="A40" s="54" t="s">
        <v>33</v>
      </c>
      <c r="B40" s="55"/>
      <c r="C40" s="47"/>
      <c r="D40" s="49"/>
      <c r="E40" s="56" t="s">
        <v>34</v>
      </c>
    </row>
    <row r="41" ht="15.75" customHeight="1"/>
    <row r="42" ht="15.75" customHeight="1">
      <c r="A42" s="57" t="s">
        <v>35</v>
      </c>
      <c r="B42" s="6"/>
      <c r="C42" s="6"/>
      <c r="D42" s="6"/>
      <c r="E42" s="7"/>
    </row>
    <row r="43" ht="15.75" customHeight="1">
      <c r="A43" s="58" t="s">
        <v>36</v>
      </c>
      <c r="B43" s="59" t="s">
        <v>37</v>
      </c>
      <c r="C43" s="59" t="s">
        <v>38</v>
      </c>
      <c r="D43" s="60" t="s">
        <v>39</v>
      </c>
      <c r="E43" s="61" t="s">
        <v>8</v>
      </c>
    </row>
    <row r="44" ht="15.75" customHeight="1">
      <c r="A44" s="62" t="s">
        <v>40</v>
      </c>
      <c r="B44" s="63"/>
      <c r="C44" s="64" t="s">
        <v>41</v>
      </c>
      <c r="D44" s="65" t="s">
        <v>42</v>
      </c>
      <c r="E44" s="66" t="s">
        <v>43</v>
      </c>
    </row>
    <row r="45" ht="15.75" customHeight="1">
      <c r="A45" s="67" t="s">
        <v>44</v>
      </c>
      <c r="B45" s="68">
        <v>45865.0</v>
      </c>
      <c r="C45" s="69" t="s">
        <v>41</v>
      </c>
      <c r="D45" s="70" t="s">
        <v>45</v>
      </c>
      <c r="E45" s="71" t="s">
        <v>46</v>
      </c>
    </row>
    <row r="46" ht="15.75" customHeight="1">
      <c r="A46" s="10" t="s">
        <v>47</v>
      </c>
      <c r="B46" s="72">
        <v>45879.0</v>
      </c>
      <c r="C46" s="73" t="s">
        <v>41</v>
      </c>
      <c r="D46" s="74" t="s">
        <v>48</v>
      </c>
      <c r="E46" s="10" t="s">
        <v>49</v>
      </c>
    </row>
    <row r="47" ht="15.75" customHeight="1">
      <c r="A47" s="10" t="s">
        <v>50</v>
      </c>
      <c r="B47" s="72">
        <v>45885.0</v>
      </c>
      <c r="C47" s="75" t="s">
        <v>45</v>
      </c>
      <c r="D47" s="74" t="s">
        <v>51</v>
      </c>
      <c r="E47" s="27"/>
    </row>
    <row r="48" ht="15.75" customHeight="1">
      <c r="A48" s="27"/>
      <c r="B48" s="76"/>
      <c r="C48" s="76"/>
      <c r="D48" s="27"/>
      <c r="E48" s="27"/>
    </row>
    <row r="49" ht="15.75" customHeight="1">
      <c r="B49" s="76"/>
      <c r="C49" s="76"/>
      <c r="D49" s="27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6">
    <mergeCell ref="A1:E1"/>
    <mergeCell ref="B2:E2"/>
    <mergeCell ref="D3:E3"/>
    <mergeCell ref="A18:E18"/>
    <mergeCell ref="A19:C19"/>
    <mergeCell ref="A42:E4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8" width="15.57"/>
    <col customWidth="1" min="9" max="9" width="26.0"/>
    <col customWidth="1" min="10" max="10" width="32.0"/>
    <col customWidth="1" min="11" max="12" width="5.86"/>
    <col customWidth="1" min="13" max="13" width="6.14"/>
    <col customWidth="1" min="14" max="26" width="8.71"/>
  </cols>
  <sheetData>
    <row r="1">
      <c r="A1" s="77" t="s">
        <v>52</v>
      </c>
      <c r="B1" s="2"/>
      <c r="C1" s="2"/>
      <c r="D1" s="2"/>
      <c r="E1" s="2"/>
      <c r="F1" s="2"/>
      <c r="G1" s="2"/>
      <c r="H1" s="3"/>
    </row>
    <row r="2">
      <c r="A2" s="8" t="s">
        <v>53</v>
      </c>
      <c r="B2" s="12" t="s">
        <v>54</v>
      </c>
      <c r="C2" s="12" t="s">
        <v>55</v>
      </c>
      <c r="D2" s="12" t="s">
        <v>56</v>
      </c>
      <c r="E2" s="12" t="s">
        <v>57</v>
      </c>
      <c r="F2" s="12" t="s">
        <v>58</v>
      </c>
      <c r="G2" s="12" t="s">
        <v>59</v>
      </c>
      <c r="H2" s="13" t="s">
        <v>60</v>
      </c>
      <c r="J2" s="78" t="s">
        <v>61</v>
      </c>
      <c r="K2" s="79"/>
      <c r="M2" s="9" t="s">
        <v>62</v>
      </c>
      <c r="N2" s="9" t="s">
        <v>63</v>
      </c>
      <c r="O2" s="9" t="s">
        <v>64</v>
      </c>
      <c r="P2" s="9" t="s">
        <v>65</v>
      </c>
      <c r="Q2" s="9" t="s">
        <v>66</v>
      </c>
    </row>
    <row r="3">
      <c r="A3" s="80"/>
      <c r="B3" s="81"/>
      <c r="C3" s="81"/>
      <c r="D3" s="81"/>
      <c r="E3" s="81"/>
      <c r="F3" s="81"/>
      <c r="G3" s="81"/>
      <c r="H3" s="82"/>
      <c r="I3" s="27"/>
      <c r="J3" s="9" t="s">
        <v>67</v>
      </c>
      <c r="K3" s="9">
        <v>43.75</v>
      </c>
      <c r="M3" s="83">
        <v>45569.0</v>
      </c>
      <c r="N3" s="84">
        <v>0.6666666666666666</v>
      </c>
      <c r="O3" s="85">
        <v>0.8958333333333334</v>
      </c>
      <c r="P3" s="86">
        <f t="shared" ref="P3:P10" si="1">O3-N3</f>
        <v>0.2291666667</v>
      </c>
      <c r="Q3" s="86">
        <f>P3</f>
        <v>0.2291666667</v>
      </c>
      <c r="S3" s="27"/>
      <c r="T3" s="27"/>
      <c r="U3" s="27"/>
      <c r="V3" s="27"/>
      <c r="W3" s="27"/>
      <c r="X3" s="27"/>
      <c r="Y3" s="27"/>
      <c r="Z3" s="27"/>
    </row>
    <row r="4">
      <c r="A4" s="87"/>
      <c r="B4" s="88"/>
      <c r="C4" s="89"/>
      <c r="D4" s="88"/>
      <c r="E4" s="89"/>
      <c r="F4" s="89"/>
      <c r="G4" s="88"/>
      <c r="H4" s="71"/>
      <c r="I4" s="27"/>
      <c r="J4" s="9" t="s">
        <v>68</v>
      </c>
      <c r="K4" s="9">
        <v>4.25</v>
      </c>
      <c r="M4" s="83">
        <v>45570.0</v>
      </c>
      <c r="N4" s="84">
        <v>0.5416666666666666</v>
      </c>
      <c r="O4" s="84">
        <v>0.875</v>
      </c>
      <c r="P4" s="86">
        <f t="shared" si="1"/>
        <v>0.3333333333</v>
      </c>
      <c r="Q4" s="86">
        <f t="shared" ref="Q4:Q10" si="2">Q3+P4</f>
        <v>0.5625</v>
      </c>
      <c r="S4" s="27"/>
      <c r="T4" s="27"/>
      <c r="U4" s="27"/>
      <c r="V4" s="27"/>
      <c r="W4" s="27"/>
      <c r="X4" s="27"/>
      <c r="Y4" s="27"/>
      <c r="Z4" s="27"/>
    </row>
    <row r="5">
      <c r="A5" s="87"/>
      <c r="B5" s="88"/>
      <c r="C5" s="88"/>
      <c r="D5" s="88"/>
      <c r="E5" s="88"/>
      <c r="F5" s="88"/>
      <c r="G5" s="90"/>
      <c r="H5" s="91"/>
      <c r="I5" s="27"/>
      <c r="J5" s="9" t="s">
        <v>69</v>
      </c>
      <c r="K5" s="9">
        <v>1.75</v>
      </c>
      <c r="M5" s="83">
        <v>45576.0</v>
      </c>
      <c r="N5" s="84">
        <v>0.6666666666666666</v>
      </c>
      <c r="O5" s="85">
        <v>0.8958333333333334</v>
      </c>
      <c r="P5" s="86">
        <f t="shared" si="1"/>
        <v>0.2291666667</v>
      </c>
      <c r="Q5" s="86">
        <f t="shared" si="2"/>
        <v>0.7916666667</v>
      </c>
      <c r="S5" s="27"/>
      <c r="T5" s="27"/>
      <c r="U5" s="27"/>
      <c r="V5" s="27"/>
      <c r="W5" s="27"/>
      <c r="X5" s="27"/>
      <c r="Y5" s="27"/>
      <c r="Z5" s="27"/>
    </row>
    <row r="6">
      <c r="A6" s="87"/>
      <c r="B6" s="92"/>
      <c r="C6" s="92"/>
      <c r="D6" s="92"/>
      <c r="E6" s="92"/>
      <c r="F6" s="88"/>
      <c r="G6" s="88"/>
      <c r="H6" s="71"/>
      <c r="I6" s="27"/>
      <c r="J6" s="9" t="s">
        <v>70</v>
      </c>
      <c r="K6" s="12">
        <f>SUM(K3:K5)</f>
        <v>49.75</v>
      </c>
      <c r="M6" s="83">
        <v>45577.0</v>
      </c>
      <c r="N6" s="84">
        <v>0.5416666666666666</v>
      </c>
      <c r="O6" s="84">
        <v>0.875</v>
      </c>
      <c r="P6" s="86">
        <f t="shared" si="1"/>
        <v>0.3333333333</v>
      </c>
      <c r="Q6" s="86">
        <f t="shared" si="2"/>
        <v>1.125</v>
      </c>
      <c r="S6" s="27"/>
      <c r="T6" s="27"/>
      <c r="U6" s="27"/>
      <c r="V6" s="27"/>
      <c r="W6" s="27"/>
      <c r="X6" s="27"/>
      <c r="Y6" s="27"/>
      <c r="Z6" s="27"/>
    </row>
    <row r="7">
      <c r="A7" s="87"/>
      <c r="B7" s="88"/>
      <c r="C7" s="92"/>
      <c r="D7" s="92"/>
      <c r="E7" s="92"/>
      <c r="F7" s="92"/>
      <c r="G7" s="90"/>
      <c r="H7" s="91"/>
      <c r="I7" s="27"/>
      <c r="J7" s="9" t="s">
        <v>71</v>
      </c>
      <c r="K7" s="9">
        <v>6.0</v>
      </c>
      <c r="M7" s="83">
        <v>45583.0</v>
      </c>
      <c r="N7" s="84">
        <v>0.6666666666666666</v>
      </c>
      <c r="O7" s="85">
        <v>0.8958333333333334</v>
      </c>
      <c r="P7" s="86">
        <f t="shared" si="1"/>
        <v>0.2291666667</v>
      </c>
      <c r="Q7" s="86">
        <f t="shared" si="2"/>
        <v>1.354166667</v>
      </c>
      <c r="R7" s="86">
        <f>P7</f>
        <v>0.2291666667</v>
      </c>
      <c r="S7" s="27"/>
      <c r="T7" s="27"/>
      <c r="U7" s="27"/>
      <c r="V7" s="27"/>
      <c r="W7" s="27"/>
      <c r="X7" s="27"/>
      <c r="Y7" s="27"/>
      <c r="Z7" s="27"/>
    </row>
    <row r="8">
      <c r="A8" s="93"/>
      <c r="B8" s="88"/>
      <c r="C8" s="88"/>
      <c r="D8" s="88"/>
      <c r="E8" s="88"/>
      <c r="F8" s="88"/>
      <c r="G8" s="90"/>
      <c r="H8" s="91"/>
      <c r="I8" s="27"/>
      <c r="J8" s="9" t="s">
        <v>72</v>
      </c>
      <c r="K8" s="12">
        <f>K6-K7</f>
        <v>43.75</v>
      </c>
      <c r="M8" s="83">
        <v>45585.0</v>
      </c>
      <c r="N8" s="84">
        <v>0.5416666666666666</v>
      </c>
      <c r="O8" s="84">
        <v>0.875</v>
      </c>
      <c r="P8" s="86">
        <f t="shared" si="1"/>
        <v>0.3333333333</v>
      </c>
      <c r="Q8" s="86">
        <f t="shared" si="2"/>
        <v>1.6875</v>
      </c>
      <c r="R8" s="86">
        <f t="shared" ref="R8:R10" si="3">R7+P8</f>
        <v>0.5625</v>
      </c>
      <c r="S8" s="27"/>
      <c r="T8" s="27"/>
      <c r="U8" s="27"/>
      <c r="V8" s="27"/>
      <c r="W8" s="27"/>
      <c r="X8" s="27"/>
      <c r="Y8" s="27"/>
      <c r="Z8" s="27"/>
    </row>
    <row r="9">
      <c r="A9" s="93"/>
      <c r="B9" s="88"/>
      <c r="C9" s="88"/>
      <c r="D9" s="88"/>
      <c r="E9" s="88"/>
      <c r="F9" s="88"/>
      <c r="G9" s="90"/>
      <c r="H9" s="91"/>
      <c r="I9" s="27"/>
      <c r="M9" s="83">
        <v>45590.0</v>
      </c>
      <c r="N9" s="84">
        <v>0.6666666666666666</v>
      </c>
      <c r="O9" s="85">
        <v>0.8958333333333334</v>
      </c>
      <c r="P9" s="86">
        <f t="shared" si="1"/>
        <v>0.2291666667</v>
      </c>
      <c r="Q9" s="86">
        <f t="shared" si="2"/>
        <v>1.916666667</v>
      </c>
      <c r="R9" s="86">
        <f t="shared" si="3"/>
        <v>0.7916666667</v>
      </c>
      <c r="S9" s="27"/>
      <c r="T9" s="27"/>
      <c r="U9" s="27"/>
      <c r="V9" s="27"/>
      <c r="W9" s="27"/>
      <c r="X9" s="27"/>
      <c r="Y9" s="27"/>
      <c r="Z9" s="27"/>
    </row>
    <row r="10">
      <c r="A10" s="62"/>
      <c r="B10" s="47"/>
      <c r="C10" s="94"/>
      <c r="D10" s="94"/>
      <c r="E10" s="94"/>
      <c r="F10" s="95"/>
      <c r="G10" s="96"/>
      <c r="H10" s="97"/>
      <c r="I10" s="27"/>
      <c r="M10" s="83">
        <v>45591.0</v>
      </c>
      <c r="N10" s="84">
        <v>0.5416666666666666</v>
      </c>
      <c r="O10" s="84">
        <v>0.875</v>
      </c>
      <c r="P10" s="86">
        <f t="shared" si="1"/>
        <v>0.3333333333</v>
      </c>
      <c r="Q10" s="86">
        <f t="shared" si="2"/>
        <v>2.25</v>
      </c>
      <c r="R10" s="86">
        <f t="shared" si="3"/>
        <v>1.125</v>
      </c>
      <c r="S10" s="27"/>
      <c r="T10" s="27"/>
      <c r="U10" s="27"/>
      <c r="V10" s="27"/>
      <c r="W10" s="27"/>
      <c r="X10" s="27"/>
      <c r="Y10" s="27"/>
      <c r="Z10" s="27"/>
    </row>
    <row r="11">
      <c r="A11" s="62"/>
      <c r="B11" s="47"/>
      <c r="C11" s="47"/>
      <c r="D11" s="47"/>
      <c r="E11" s="98"/>
      <c r="F11" s="47"/>
      <c r="G11" s="49"/>
      <c r="H11" s="66"/>
      <c r="I11" s="27"/>
      <c r="J11" s="9"/>
      <c r="K11" s="9"/>
      <c r="P11" s="86">
        <f>SUM(P3:P10)</f>
        <v>2.25</v>
      </c>
      <c r="S11" s="27"/>
      <c r="T11" s="27"/>
      <c r="U11" s="27"/>
      <c r="V11" s="27"/>
      <c r="W11" s="27"/>
      <c r="X11" s="27"/>
      <c r="Y11" s="27"/>
      <c r="Z11" s="27"/>
    </row>
    <row r="12">
      <c r="A12" s="62"/>
      <c r="B12" s="99"/>
      <c r="C12" s="94"/>
      <c r="D12" s="94"/>
      <c r="E12" s="94"/>
      <c r="F12" s="95"/>
      <c r="G12" s="96"/>
      <c r="H12" s="97"/>
      <c r="I12" s="27"/>
      <c r="J12" s="9"/>
      <c r="K12" s="9"/>
      <c r="S12" s="27"/>
      <c r="T12" s="27"/>
      <c r="U12" s="27"/>
      <c r="V12" s="27"/>
      <c r="W12" s="27"/>
      <c r="X12" s="27"/>
      <c r="Y12" s="27"/>
      <c r="Z12" s="27"/>
    </row>
    <row r="13">
      <c r="A13" s="62"/>
      <c r="B13" s="99"/>
      <c r="C13" s="94"/>
      <c r="D13" s="94"/>
      <c r="E13" s="94"/>
      <c r="F13" s="95"/>
      <c r="G13" s="96"/>
      <c r="H13" s="97"/>
      <c r="I13" s="27"/>
      <c r="J13" s="100" t="s">
        <v>73</v>
      </c>
      <c r="K13" s="100"/>
      <c r="S13" s="27"/>
      <c r="T13" s="27"/>
      <c r="U13" s="27"/>
      <c r="V13" s="27"/>
      <c r="W13" s="27"/>
      <c r="X13" s="27"/>
      <c r="Y13" s="27"/>
      <c r="Z13" s="27"/>
    </row>
    <row r="14">
      <c r="A14" s="62"/>
      <c r="B14" s="99"/>
      <c r="C14" s="94"/>
      <c r="D14" s="94"/>
      <c r="E14" s="94"/>
      <c r="F14" s="95"/>
      <c r="G14" s="96"/>
      <c r="H14" s="97"/>
      <c r="I14" s="27"/>
      <c r="J14" s="9" t="s">
        <v>74</v>
      </c>
      <c r="K14" s="9">
        <v>24.75</v>
      </c>
      <c r="S14" s="27"/>
      <c r="T14" s="27"/>
      <c r="U14" s="27"/>
      <c r="V14" s="27"/>
      <c r="W14" s="27"/>
      <c r="X14" s="27"/>
      <c r="Y14" s="27"/>
      <c r="Z14" s="27"/>
    </row>
    <row r="15">
      <c r="A15" s="62"/>
      <c r="B15" s="99"/>
      <c r="C15" s="94"/>
      <c r="D15" s="94"/>
      <c r="E15" s="94"/>
      <c r="F15" s="95"/>
      <c r="G15" s="96"/>
      <c r="H15" s="97"/>
      <c r="I15" s="27"/>
      <c r="S15" s="27"/>
      <c r="T15" s="27"/>
      <c r="U15" s="27"/>
      <c r="V15" s="27"/>
      <c r="W15" s="27"/>
      <c r="X15" s="27"/>
      <c r="Y15" s="27"/>
      <c r="Z15" s="27"/>
    </row>
    <row r="16">
      <c r="A16" s="62"/>
      <c r="B16" s="99"/>
      <c r="C16" s="94"/>
      <c r="D16" s="94"/>
      <c r="E16" s="94"/>
      <c r="F16" s="95"/>
      <c r="G16" s="96"/>
      <c r="H16" s="97"/>
      <c r="I16" s="27"/>
      <c r="J16" s="9" t="s">
        <v>75</v>
      </c>
      <c r="S16" s="27"/>
      <c r="T16" s="27"/>
      <c r="U16" s="27"/>
      <c r="V16" s="27"/>
      <c r="W16" s="27"/>
      <c r="X16" s="27"/>
      <c r="Y16" s="27"/>
      <c r="Z16" s="27"/>
    </row>
    <row r="17">
      <c r="A17" s="62"/>
      <c r="B17" s="99"/>
      <c r="C17" s="94"/>
      <c r="D17" s="94"/>
      <c r="E17" s="94"/>
      <c r="F17" s="95"/>
      <c r="G17" s="96"/>
      <c r="H17" s="97"/>
      <c r="I17" s="27"/>
      <c r="J17" s="9" t="s">
        <v>71</v>
      </c>
      <c r="K17" s="9">
        <v>6.0</v>
      </c>
      <c r="S17" s="27"/>
      <c r="T17" s="27"/>
      <c r="U17" s="27"/>
      <c r="V17" s="27"/>
      <c r="W17" s="27"/>
      <c r="X17" s="27"/>
      <c r="Y17" s="27"/>
      <c r="Z17" s="27"/>
    </row>
    <row r="18">
      <c r="A18" s="101"/>
      <c r="B18" s="102"/>
      <c r="C18" s="103"/>
      <c r="D18" s="103"/>
      <c r="E18" s="103"/>
      <c r="F18" s="104"/>
      <c r="G18" s="105"/>
      <c r="H18" s="106"/>
      <c r="I18" s="27"/>
      <c r="J18" s="9" t="s">
        <v>72</v>
      </c>
      <c r="K18" s="9">
        <v>21.5</v>
      </c>
      <c r="O18" s="12">
        <f>43.75-27.5</f>
        <v>16.25</v>
      </c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107"/>
      <c r="C19" s="107"/>
      <c r="D19" s="107"/>
      <c r="E19" s="107"/>
      <c r="F19" s="27"/>
      <c r="G19" s="27"/>
      <c r="H19" s="27"/>
      <c r="I19" s="27"/>
      <c r="J19" s="9" t="s">
        <v>76</v>
      </c>
      <c r="K19" s="12">
        <f>SUM(K17:K18)</f>
        <v>27.5</v>
      </c>
      <c r="S19" s="27"/>
      <c r="T19" s="27"/>
      <c r="U19" s="27"/>
      <c r="V19" s="27"/>
      <c r="W19" s="27"/>
      <c r="X19" s="27"/>
      <c r="Y19" s="27"/>
      <c r="Z19" s="27"/>
    </row>
    <row r="21">
      <c r="A21" s="12" t="s">
        <v>77</v>
      </c>
    </row>
    <row r="22">
      <c r="J22" s="78" t="s">
        <v>78</v>
      </c>
      <c r="K22" s="79"/>
    </row>
    <row r="23">
      <c r="A23" s="1" t="s">
        <v>0</v>
      </c>
      <c r="B23" s="2"/>
      <c r="C23" s="2"/>
      <c r="D23" s="2"/>
      <c r="E23" s="2"/>
      <c r="F23" s="2"/>
      <c r="G23" s="2"/>
      <c r="H23" s="3"/>
      <c r="J23" s="9" t="s">
        <v>71</v>
      </c>
      <c r="K23" s="9">
        <v>6.0</v>
      </c>
    </row>
    <row r="24">
      <c r="A24" s="8" t="s">
        <v>10</v>
      </c>
      <c r="B24" s="108" t="s">
        <v>11</v>
      </c>
      <c r="C24" s="6"/>
      <c r="D24" s="6"/>
      <c r="E24" s="6"/>
      <c r="F24" s="6"/>
      <c r="G24" s="6"/>
      <c r="H24" s="7"/>
      <c r="J24" s="9" t="s">
        <v>72</v>
      </c>
      <c r="K24" s="9">
        <v>21.5</v>
      </c>
    </row>
    <row r="25">
      <c r="A25" s="8"/>
      <c r="H25" s="13"/>
      <c r="J25" s="9" t="s">
        <v>68</v>
      </c>
      <c r="K25" s="9">
        <v>4.25</v>
      </c>
    </row>
    <row r="26" ht="15.75" customHeight="1">
      <c r="A26" s="8" t="s">
        <v>53</v>
      </c>
      <c r="B26" s="12" t="s">
        <v>54</v>
      </c>
      <c r="C26" s="12" t="s">
        <v>55</v>
      </c>
      <c r="D26" s="12" t="s">
        <v>56</v>
      </c>
      <c r="E26" s="12" t="s">
        <v>57</v>
      </c>
      <c r="F26" s="12" t="s">
        <v>58</v>
      </c>
      <c r="G26" s="12" t="s">
        <v>59</v>
      </c>
      <c r="H26" s="13" t="s">
        <v>60</v>
      </c>
      <c r="J26" s="9" t="s">
        <v>69</v>
      </c>
      <c r="K26" s="9">
        <v>1.75</v>
      </c>
    </row>
    <row r="27" ht="15.75" customHeight="1">
      <c r="A27" s="109"/>
      <c r="B27" s="110"/>
      <c r="C27" s="110"/>
      <c r="D27" s="110"/>
      <c r="E27" s="110"/>
      <c r="F27" s="110"/>
      <c r="G27" s="111"/>
      <c r="H27" s="112"/>
      <c r="J27" s="9"/>
    </row>
    <row r="28" ht="15.75" customHeight="1">
      <c r="A28" s="113"/>
      <c r="B28" s="47"/>
      <c r="C28" s="98"/>
      <c r="D28" s="98"/>
      <c r="E28" s="98"/>
      <c r="F28" s="98"/>
      <c r="G28" s="49"/>
      <c r="H28" s="66"/>
      <c r="J28" s="9" t="s">
        <v>79</v>
      </c>
      <c r="K28" s="12">
        <f>SUM(K23:K26)</f>
        <v>33.5</v>
      </c>
    </row>
    <row r="29" ht="15.75" customHeight="1">
      <c r="A29" s="114"/>
      <c r="B29" s="47"/>
      <c r="C29" s="94"/>
      <c r="D29" s="94"/>
      <c r="E29" s="94"/>
      <c r="F29" s="95"/>
      <c r="G29" s="96"/>
      <c r="H29" s="97"/>
      <c r="J29" s="9" t="s">
        <v>80</v>
      </c>
      <c r="K29" s="9">
        <v>36.0</v>
      </c>
    </row>
    <row r="30" ht="15.75" customHeight="1">
      <c r="A30" s="114"/>
      <c r="B30" s="47"/>
      <c r="C30" s="115"/>
      <c r="D30" s="115"/>
      <c r="E30" s="115"/>
      <c r="F30" s="115"/>
      <c r="G30" s="96"/>
      <c r="H30" s="97"/>
    </row>
    <row r="31" ht="15.75" customHeight="1">
      <c r="A31" s="114"/>
      <c r="B31" s="47"/>
      <c r="C31" s="94"/>
      <c r="D31" s="94"/>
      <c r="E31" s="94"/>
      <c r="F31" s="95"/>
      <c r="G31" s="96"/>
      <c r="H31" s="97"/>
    </row>
    <row r="32" ht="15.75" customHeight="1">
      <c r="A32" s="114"/>
      <c r="B32" s="47"/>
      <c r="C32" s="94"/>
      <c r="D32" s="94"/>
      <c r="E32" s="94"/>
      <c r="F32" s="95"/>
      <c r="G32" s="96"/>
      <c r="H32" s="97"/>
    </row>
    <row r="33" ht="15.75" customHeight="1">
      <c r="A33" s="114"/>
      <c r="B33" s="47"/>
      <c r="C33" s="94"/>
      <c r="D33" s="94"/>
      <c r="E33" s="94"/>
      <c r="F33" s="95"/>
      <c r="G33" s="96"/>
      <c r="H33" s="97"/>
    </row>
    <row r="34" ht="15.75" customHeight="1">
      <c r="A34" s="114"/>
      <c r="B34" s="47"/>
      <c r="C34" s="94"/>
      <c r="D34" s="94"/>
      <c r="E34" s="94"/>
      <c r="F34" s="95"/>
      <c r="G34" s="96"/>
      <c r="H34" s="97"/>
    </row>
    <row r="35" ht="15.75" customHeight="1">
      <c r="A35" s="113"/>
      <c r="B35" s="47"/>
      <c r="C35" s="47"/>
      <c r="D35" s="47"/>
      <c r="E35" s="98"/>
      <c r="F35" s="47"/>
      <c r="G35" s="49"/>
      <c r="H35" s="66"/>
    </row>
    <row r="36" ht="15.75" customHeight="1">
      <c r="A36" s="116"/>
      <c r="B36" s="102"/>
      <c r="C36" s="103"/>
      <c r="D36" s="103"/>
      <c r="E36" s="103"/>
      <c r="F36" s="104"/>
      <c r="G36" s="105"/>
      <c r="H36" s="10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">
    <mergeCell ref="A1:H1"/>
    <mergeCell ref="A23:H23"/>
    <mergeCell ref="B24:H2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75.86"/>
  </cols>
  <sheetData>
    <row r="1">
      <c r="A1" s="100" t="s">
        <v>81</v>
      </c>
      <c r="B1" s="100" t="s">
        <v>82</v>
      </c>
    </row>
    <row r="2">
      <c r="A2" s="117" t="s">
        <v>83</v>
      </c>
      <c r="B2" s="117" t="s">
        <v>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1">
      <c r="A1" s="118" t="s">
        <v>85</v>
      </c>
      <c r="B1" s="119"/>
      <c r="C1" s="119"/>
      <c r="D1" s="119"/>
      <c r="E1" s="119"/>
    </row>
    <row r="3">
      <c r="A3" s="120" t="s">
        <v>86</v>
      </c>
      <c r="B3" s="121"/>
      <c r="C3" s="121"/>
      <c r="D3" s="120" t="s">
        <v>87</v>
      </c>
      <c r="E3" s="121"/>
    </row>
    <row r="4">
      <c r="A4" s="121"/>
      <c r="B4" s="121"/>
      <c r="C4" s="121"/>
      <c r="D4" s="121"/>
      <c r="E4" s="121"/>
    </row>
    <row r="5">
      <c r="A5" s="121"/>
      <c r="B5" s="121"/>
      <c r="C5" s="121"/>
      <c r="D5" s="121"/>
      <c r="E5" s="121"/>
    </row>
    <row r="6">
      <c r="A6" s="120" t="s">
        <v>88</v>
      </c>
      <c r="B6" s="121"/>
      <c r="C6" s="121"/>
      <c r="D6" s="121"/>
      <c r="E6" s="121"/>
    </row>
    <row r="7">
      <c r="A7" s="121"/>
      <c r="B7" s="121"/>
      <c r="C7" s="121"/>
      <c r="D7" s="121"/>
      <c r="E7" s="121"/>
    </row>
    <row r="8">
      <c r="A8" s="121"/>
      <c r="B8" s="121"/>
      <c r="C8" s="121"/>
      <c r="D8" s="121"/>
      <c r="E8" s="121"/>
    </row>
    <row r="9">
      <c r="A9" s="120" t="s">
        <v>89</v>
      </c>
      <c r="B9" s="121"/>
      <c r="C9" s="121"/>
      <c r="D9" s="121"/>
      <c r="E9" s="121"/>
    </row>
    <row r="10">
      <c r="A10" s="121"/>
      <c r="B10" s="121"/>
      <c r="C10" s="121"/>
      <c r="D10" s="121"/>
      <c r="E10" s="121"/>
    </row>
    <row r="11">
      <c r="A11" s="121"/>
      <c r="B11" s="121"/>
      <c r="C11" s="121"/>
      <c r="D11" s="121"/>
      <c r="E11" s="121"/>
    </row>
    <row r="12">
      <c r="A12" s="120" t="s">
        <v>90</v>
      </c>
      <c r="B12" s="121"/>
      <c r="C12" s="121"/>
      <c r="D12" s="121"/>
      <c r="E12" s="121"/>
    </row>
    <row r="13">
      <c r="A13" s="121"/>
      <c r="B13" s="121"/>
      <c r="C13" s="121"/>
      <c r="D13" s="121"/>
      <c r="E13" s="121"/>
    </row>
    <row r="14">
      <c r="A14" s="121"/>
      <c r="B14" s="121"/>
      <c r="C14" s="121"/>
      <c r="D14" s="121"/>
      <c r="E14" s="121"/>
    </row>
    <row r="15">
      <c r="A15" s="120" t="s">
        <v>91</v>
      </c>
      <c r="B15" s="121"/>
      <c r="C15" s="121"/>
      <c r="D15" s="121"/>
      <c r="E15" s="121"/>
    </row>
    <row r="16">
      <c r="A16" s="121" t="b">
        <v>0</v>
      </c>
      <c r="B16" s="120" t="s">
        <v>92</v>
      </c>
      <c r="C16" s="121"/>
      <c r="D16" s="121"/>
      <c r="E16" s="121"/>
    </row>
    <row r="17">
      <c r="A17" s="121" t="b">
        <v>0</v>
      </c>
      <c r="B17" s="120" t="s">
        <v>93</v>
      </c>
      <c r="C17" s="121"/>
      <c r="D17" s="121"/>
      <c r="E17" s="121"/>
    </row>
    <row r="18">
      <c r="A18" s="121" t="b">
        <v>0</v>
      </c>
      <c r="B18" s="120" t="s">
        <v>94</v>
      </c>
      <c r="C18" s="121"/>
      <c r="D18" s="121"/>
      <c r="E18" s="121"/>
    </row>
    <row r="19">
      <c r="A19" s="121" t="b">
        <v>0</v>
      </c>
      <c r="B19" s="120" t="s">
        <v>95</v>
      </c>
      <c r="C19" s="121"/>
      <c r="D19" s="121"/>
      <c r="E19" s="121"/>
    </row>
  </sheetData>
  <mergeCells count="1">
    <mergeCell ref="A1:E1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2022-11-29T20:20:38Z</dcterms:created>
  <dc:creator>Ryan Storms</dc:creator>
</cp:coreProperties>
</file>